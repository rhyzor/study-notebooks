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я" sheetId="1" r:id="rId5"/>
  </sheets>
  <definedNames/>
  <calcPr/>
</workbook>
</file>

<file path=xl/sharedStrings.xml><?xml version="1.0" encoding="utf-8"?>
<sst xmlns="http://schemas.openxmlformats.org/spreadsheetml/2006/main" count="28" uniqueCount="28">
  <si>
    <t>Предыстория</t>
  </si>
  <si>
    <t>Задание 1. Расчитайте маржинальность</t>
  </si>
  <si>
    <t>Маржинальность:</t>
  </si>
  <si>
    <t>Задание 2. Метрики для трёх каналов продвижения</t>
  </si>
  <si>
    <t>Для 1 товара</t>
  </si>
  <si>
    <t>себес</t>
  </si>
  <si>
    <t>цена продажи</t>
  </si>
  <si>
    <t>Всего</t>
  </si>
  <si>
    <t xml:space="preserve">Стоимость клика </t>
  </si>
  <si>
    <t>Стоимость привлечения клиента</t>
  </si>
  <si>
    <t>Расходов на рекламу</t>
  </si>
  <si>
    <t xml:space="preserve">Конверсия </t>
  </si>
  <si>
    <t>Кол-во заказов</t>
  </si>
  <si>
    <t>Доход</t>
  </si>
  <si>
    <t>Себестоимость</t>
  </si>
  <si>
    <t>Средний чек</t>
  </si>
  <si>
    <t xml:space="preserve">Прибыль </t>
  </si>
  <si>
    <t>ROI</t>
  </si>
  <si>
    <t>Контекстная
реклама</t>
  </si>
  <si>
    <t>Баннер</t>
  </si>
  <si>
    <t>Блогер</t>
  </si>
  <si>
    <t>Задание 3. Рекомендации по продвижению</t>
  </si>
  <si>
    <t>Какими каналами вы довольны больше всего? Почему?</t>
  </si>
  <si>
    <t>Наиболее эффективным каналом привлечения оказалась контекстная реклама: 
она обеспечила наибольшее количество заказов при ROI на уровне 97%.
 С учётом текущих показателей, целесообразно продолжить инвестирование в 
данный канал и, возможно, рассмотреть масштабирование бюджета.
В то же время вызывает вопросы показатель среднего чека - он составляет 
около 9 000, при этом большинство клиентов приобретают лишь одну единицу
 товара. Это может указывать на ограничения или неудобства в 
пользовательском опыте на сайте, например, отсутствие очевидной
 возможности добавить несколько товаров в заказ.
Для повышения среднего чека и дальнейшего роста ROI рекомендуется 
протестировать стимулирующие механики:
- внедрение скидки при покупке от двух единиц товара;
- добавление бонуса или подарка при увеличении объёма заказа.
Данные меры могут способствовать увеличению среднего чека и
 общей эффективности канала.</t>
  </si>
  <si>
    <t>Есть ли каналы, которые необходимо отключить? Если такие каналы есть, почему так вышло, как вы думаете?</t>
  </si>
  <si>
    <t xml:space="preserve">Необходимо отказаться от текущего канала блогера и найти более подходящего, 
поскольку его направление — ремонт автомобилей, а наша ниша — украшения 
ручной работы. Возможно, нам стоит создать собственный TikTok-канал с
 видеоконтентом, а также рассмотреть закупку рекламы у блогеров нашей
 тематики или попробовать договориться о сотрудничестве с крупными
 медийными площадками.
</t>
  </si>
  <si>
    <t>Можно ли что-то доработать в каждом канале, чтобы реклама была еще эффективнее?</t>
  </si>
  <si>
    <t xml:space="preserve">По контекстной рекламе: внедрить скидку при покупке от 2 единиц товара и 
добавить бонус или подарок при увеличении объёма заказа.
По баннерам: отказаться от текущего формата или протестировать другие
 площадки и варианты размещения.
По блогерам: прекратить сотрудничество с текущим блогером, так как он 
не соответствует нашей нише. Далее выстроить новую стратегию - развивать 
собственный TikTok/блог и работать с блогерами в нашей тематике (подарки,
 украшения, лайфстайл).
Также, учитывая молодой бренд, стоит рассмотреть коллаборации с другими
 брендами с уже сформированной аудиторией.
Обязательно развитие собственного контент-канала (TikTok, блог, соцсети), 
так как это создаёт дополнительные воронки продаж.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</si>
</sst>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9">
    <font>
      <sz val="11.0"/>
      <color theme="1"/>
      <name val="Calibri"/>
      <scheme val="minor"/>
    </font>
    <font>
      <sz val="10.0"/>
      <color theme="1"/>
      <name val="Helvetica Neue"/>
    </font>
    <font>
      <b/>
      <sz val="16.0"/>
      <color theme="1"/>
      <name val="Helvetica Neue"/>
    </font>
    <font>
      <i/>
      <sz val="10.0"/>
      <color rgb="FFFF0000"/>
      <name val="Helvetica Neue"/>
    </font>
    <font>
      <i/>
      <sz val="10.0"/>
      <color theme="1"/>
      <name val="Helvetica Neue"/>
    </font>
    <font>
      <b/>
      <sz val="10.0"/>
      <color theme="1"/>
      <name val="Helvetica Neue"/>
    </font>
    <font/>
    <font>
      <color theme="1"/>
      <name val="Calibri"/>
    </font>
    <font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center"/>
    </xf>
    <xf borderId="1" fillId="2" fontId="1" numFmtId="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1" numFmtId="0" xfId="0" applyAlignment="1" applyBorder="1" applyFont="1">
      <alignment readingOrder="0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5" fillId="3" fontId="1" numFmtId="0" xfId="0" applyAlignment="1" applyBorder="1" applyFill="1" applyFont="1">
      <alignment vertical="center"/>
    </xf>
    <xf borderId="5" fillId="2" fontId="1" numFmtId="164" xfId="0" applyAlignment="1" applyBorder="1" applyFont="1" applyNumberFormat="1">
      <alignment vertical="center"/>
    </xf>
    <xf borderId="5" fillId="3" fontId="1" numFmtId="164" xfId="0" applyAlignment="1" applyBorder="1" applyFont="1" applyNumberFormat="1">
      <alignment vertical="center"/>
    </xf>
    <xf borderId="5" fillId="2" fontId="1" numFmtId="9" xfId="0" applyAlignment="1" applyBorder="1" applyFont="1" applyNumberFormat="1">
      <alignment vertical="center"/>
    </xf>
    <xf borderId="5" fillId="2" fontId="1" numFmtId="164" xfId="0" applyAlignment="1" applyBorder="1" applyFont="1" applyNumberForma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4" fontId="1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4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</xdr:row>
      <xdr:rowOff>19050</xdr:rowOff>
    </xdr:from>
    <xdr:ext cx="5743575" cy="495300"/>
    <xdr:sp>
      <xdr:nvSpPr>
        <xdr:cNvPr id="3" name="Shape 3"/>
        <xdr:cNvSpPr/>
      </xdr:nvSpPr>
      <xdr:spPr>
        <a:xfrm>
          <a:off x="2478975" y="3537113"/>
          <a:ext cx="5734050" cy="4857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Helvetica Neue"/>
            <a:buNone/>
          </a:pPr>
          <a:r>
            <a:rPr lang="en-US" sz="10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Вы запустили небольшой интернет-магазин по продаже украшений ручной работы. Себестоимость украшения — 3 тысячи рублей. Цена продажи — 9 тысяч. </a:t>
          </a:r>
          <a:endParaRPr sz="10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533400</xdr:colOff>
      <xdr:row>15</xdr:row>
      <xdr:rowOff>47625</xdr:rowOff>
    </xdr:from>
    <xdr:ext cx="6305550" cy="1971675"/>
    <xdr:sp>
      <xdr:nvSpPr>
        <xdr:cNvPr id="4" name="Shape 4"/>
        <xdr:cNvSpPr/>
      </xdr:nvSpPr>
      <xdr:spPr>
        <a:xfrm>
          <a:off x="2197988" y="2798925"/>
          <a:ext cx="6296025" cy="1962150"/>
        </a:xfrm>
        <a:prstGeom prst="rect">
          <a:avLst/>
        </a:prstGeom>
        <a:solidFill>
          <a:schemeClr val="lt1"/>
        </a:solidFill>
        <a:ln cap="flat" cmpd="sng" w="12700">
          <a:solidFill>
            <a:srgbClr val="D9D9D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None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Вы планируете продвигать товар несколькими способами: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  <a:p>
          <a:pPr indent="-2921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AutoNum type="arabicPeriod"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Контекстная реклама на поиске. Настроена на поиск украшений, амулетов, подарков для девушек, подарков по случаю и т.д.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  <a:p>
          <a:pPr indent="-2921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AutoNum type="arabicPeriod"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Баннер на странице известного женского форума в разделах «все для дома», «кулинария», «в 60 жизнь только начинается».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  <a:p>
          <a:pPr indent="-29210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AutoNum type="arabicPeriod"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реклама у блогера Паши. Паша опытный блогер, уже три года он рассказывает, как недорого и своими руками можно починить отечественный автомобиль.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None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Ваш магазин пока еще очень молодой. В прошлом месяце вы запустили рекламу первый раз выделив по 25 тысяч рублей на каждый канал. По прошествии месяца вы получили такие данные: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533400</xdr:colOff>
      <xdr:row>39</xdr:row>
      <xdr:rowOff>57150</xdr:rowOff>
    </xdr:from>
    <xdr:ext cx="3543300" cy="295275"/>
    <xdr:sp>
      <xdr:nvSpPr>
        <xdr:cNvPr id="5" name="Shape 5"/>
        <xdr:cNvSpPr/>
      </xdr:nvSpPr>
      <xdr:spPr>
        <a:xfrm>
          <a:off x="3579113" y="3637125"/>
          <a:ext cx="3533775" cy="285750"/>
        </a:xfrm>
        <a:prstGeom prst="rect">
          <a:avLst/>
        </a:prstGeom>
        <a:solidFill>
          <a:schemeClr val="lt1"/>
        </a:solidFill>
        <a:ln cap="flat" cmpd="sng" w="12700">
          <a:solidFill>
            <a:srgbClr val="D9D9D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None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Что вы можете сказать, глядя на такие результаты? 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533400</xdr:colOff>
      <xdr:row>33</xdr:row>
      <xdr:rowOff>9525</xdr:rowOff>
    </xdr:from>
    <xdr:ext cx="4600575" cy="371475"/>
    <xdr:sp>
      <xdr:nvSpPr>
        <xdr:cNvPr id="6" name="Shape 6"/>
        <xdr:cNvSpPr txBox="1"/>
      </xdr:nvSpPr>
      <xdr:spPr>
        <a:xfrm>
          <a:off x="3050475" y="3599025"/>
          <a:ext cx="45910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D9D9D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000"/>
            <a:buFont typeface="Helvetica Neue"/>
            <a:buNone/>
          </a:pPr>
          <a:r>
            <a:rPr lang="en-US" sz="1000">
              <a:latin typeface="Helvetica Neue"/>
              <a:ea typeface="Helvetica Neue"/>
              <a:cs typeface="Helvetica Neue"/>
              <a:sym typeface="Helvetica Neue"/>
            </a:rPr>
            <a:t>Рассчитайте оставшиеся метрики, добавив формулы в желтые ячейки.</a:t>
          </a:r>
          <a:endParaRPr sz="10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7.57"/>
    <col customWidth="1" min="3" max="10" width="12.29"/>
    <col customWidth="1" min="11" max="11" width="15.29"/>
    <col customWidth="1" min="12" max="13" width="12.29"/>
    <col customWidth="1" min="14" max="14" width="8.71"/>
    <col customWidth="1" min="15" max="15" width="18.0"/>
    <col customWidth="1" min="16" max="1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2" t="s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4.25" customHeight="1">
      <c r="A11" s="1"/>
      <c r="B11" s="3" t="s">
        <v>2</v>
      </c>
      <c r="C11" s="4">
        <f>(9000-3000)/9000</f>
        <v>0.6666666667</v>
      </c>
      <c r="D11" s="5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4.25" customHeight="1">
      <c r="C12" s="1"/>
      <c r="D12" s="7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4.25" customHeight="1">
      <c r="C13" s="1"/>
      <c r="D13" s="7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4.2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2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8" t="s">
        <v>4</v>
      </c>
      <c r="K22" s="9"/>
      <c r="L22" s="1"/>
      <c r="M22" s="1"/>
      <c r="N22" s="1"/>
      <c r="O22" s="1"/>
      <c r="P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0" t="s">
        <v>5</v>
      </c>
      <c r="K23" s="10" t="s">
        <v>6</v>
      </c>
      <c r="L23" s="1"/>
      <c r="M23" s="1"/>
      <c r="N23" s="1"/>
      <c r="O23" s="1"/>
      <c r="P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0">
        <v>3000.0</v>
      </c>
      <c r="K24" s="10">
        <v>9000.0</v>
      </c>
      <c r="L24" s="1"/>
      <c r="M24" s="1"/>
      <c r="N24" s="1"/>
      <c r="O24" s="1"/>
      <c r="P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5.75" customHeight="1">
      <c r="A28" s="11"/>
      <c r="B28" s="12"/>
      <c r="C28" s="13" t="s">
        <v>7</v>
      </c>
      <c r="D28" s="13" t="s">
        <v>8</v>
      </c>
      <c r="E28" s="13" t="s">
        <v>9</v>
      </c>
      <c r="F28" s="13" t="s">
        <v>10</v>
      </c>
      <c r="G28" s="13" t="s">
        <v>11</v>
      </c>
      <c r="H28" s="13" t="s">
        <v>12</v>
      </c>
      <c r="I28" s="13" t="s">
        <v>13</v>
      </c>
      <c r="J28" s="13" t="s">
        <v>14</v>
      </c>
      <c r="K28" s="13" t="s">
        <v>15</v>
      </c>
      <c r="L28" s="13" t="s">
        <v>16</v>
      </c>
      <c r="M28" s="13" t="s">
        <v>17</v>
      </c>
      <c r="N28" s="12"/>
      <c r="O28" s="12"/>
      <c r="P28" s="12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5.75" customHeight="1">
      <c r="B30" s="14" t="s">
        <v>18</v>
      </c>
      <c r="C30" s="15">
        <v>200.0</v>
      </c>
      <c r="D30" s="16">
        <f t="shared" ref="D30:D32" si="1">F30/C30</f>
        <v>125</v>
      </c>
      <c r="E30" s="16">
        <f t="shared" ref="E30:E32" si="2">F30/H30</f>
        <v>1562.5</v>
      </c>
      <c r="F30" s="17">
        <v>25000.0</v>
      </c>
      <c r="G30" s="18">
        <f t="shared" ref="G30:G32" si="3">H30/C30</f>
        <v>0.08</v>
      </c>
      <c r="H30" s="15">
        <v>16.0</v>
      </c>
      <c r="I30" s="16">
        <f t="shared" ref="I30:I32" si="4">$K$24*H30</f>
        <v>144000</v>
      </c>
      <c r="J30" s="19">
        <f t="shared" ref="J30:J32" si="5">$J$24*H30+F30</f>
        <v>73000</v>
      </c>
      <c r="K30" s="15">
        <v>9000.0</v>
      </c>
      <c r="L30" s="16">
        <f t="shared" ref="L30:L32" si="6">I30-J30</f>
        <v>71000</v>
      </c>
      <c r="M30" s="18">
        <f t="shared" ref="M30:M32" si="7">(I30-J30)/J30</f>
        <v>0.9726027397</v>
      </c>
      <c r="N30" s="5"/>
      <c r="O30" s="20"/>
    </row>
    <row r="31" ht="14.25" customHeight="1">
      <c r="B31" s="14" t="s">
        <v>19</v>
      </c>
      <c r="C31" s="15">
        <v>54.0</v>
      </c>
      <c r="D31" s="16">
        <f t="shared" si="1"/>
        <v>462.962963</v>
      </c>
      <c r="E31" s="16">
        <f t="shared" si="2"/>
        <v>5000</v>
      </c>
      <c r="F31" s="17">
        <v>25000.0</v>
      </c>
      <c r="G31" s="18">
        <f t="shared" si="3"/>
        <v>0.09259259259</v>
      </c>
      <c r="H31" s="15">
        <v>5.0</v>
      </c>
      <c r="I31" s="16">
        <f t="shared" si="4"/>
        <v>45000</v>
      </c>
      <c r="J31" s="19">
        <f t="shared" si="5"/>
        <v>40000</v>
      </c>
      <c r="K31" s="15">
        <v>9000.0</v>
      </c>
      <c r="L31" s="16">
        <f t="shared" si="6"/>
        <v>5000</v>
      </c>
      <c r="M31" s="18">
        <f t="shared" si="7"/>
        <v>0.125</v>
      </c>
      <c r="N31" s="14"/>
      <c r="O31" s="1"/>
      <c r="P31" s="1"/>
    </row>
    <row r="32" ht="14.25" customHeight="1">
      <c r="B32" s="14" t="s">
        <v>20</v>
      </c>
      <c r="C32" s="15">
        <v>60.0</v>
      </c>
      <c r="D32" s="16">
        <f t="shared" si="1"/>
        <v>416.6666667</v>
      </c>
      <c r="E32" s="16">
        <f t="shared" si="2"/>
        <v>25000</v>
      </c>
      <c r="F32" s="17">
        <v>25000.0</v>
      </c>
      <c r="G32" s="18">
        <f t="shared" si="3"/>
        <v>0.01666666667</v>
      </c>
      <c r="H32" s="15">
        <v>1.0</v>
      </c>
      <c r="I32" s="16">
        <f t="shared" si="4"/>
        <v>9000</v>
      </c>
      <c r="J32" s="19">
        <f t="shared" si="5"/>
        <v>28000</v>
      </c>
      <c r="K32" s="15">
        <v>9000.0</v>
      </c>
      <c r="L32" s="16">
        <f t="shared" si="6"/>
        <v>-19000</v>
      </c>
      <c r="M32" s="18">
        <f t="shared" si="7"/>
        <v>-0.6785714286</v>
      </c>
      <c r="N32" s="14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5.75" customHeight="1">
      <c r="A39" s="2" t="s">
        <v>21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231.0" customHeight="1">
      <c r="A43" s="14"/>
      <c r="B43" s="21" t="s">
        <v>22</v>
      </c>
      <c r="D43" s="22" t="s">
        <v>23</v>
      </c>
      <c r="J43" s="23"/>
      <c r="K43" s="24"/>
      <c r="L43" s="14"/>
      <c r="M43" s="14"/>
      <c r="N43" s="14"/>
      <c r="O43" s="14"/>
      <c r="P43" s="14"/>
    </row>
    <row r="44" ht="81.0" customHeight="1">
      <c r="A44" s="14"/>
      <c r="B44" s="21" t="s">
        <v>24</v>
      </c>
      <c r="D44" s="25" t="s">
        <v>25</v>
      </c>
      <c r="J44" s="14"/>
      <c r="K44" s="14"/>
      <c r="L44" s="14"/>
      <c r="M44" s="14"/>
      <c r="N44" s="14"/>
      <c r="O44" s="14"/>
      <c r="P44" s="14"/>
    </row>
    <row r="45" ht="218.25" customHeight="1">
      <c r="A45" s="14"/>
      <c r="B45" s="21" t="s">
        <v>26</v>
      </c>
      <c r="D45" s="25" t="s">
        <v>27</v>
      </c>
      <c r="J45" s="14"/>
      <c r="K45" s="14"/>
      <c r="L45" s="14"/>
      <c r="M45" s="14"/>
      <c r="N45" s="14"/>
      <c r="O45" s="14"/>
      <c r="P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J22:K22"/>
    <mergeCell ref="B43:C43"/>
    <mergeCell ref="D43:I43"/>
    <mergeCell ref="B44:C44"/>
    <mergeCell ref="D44:I44"/>
    <mergeCell ref="B45:C45"/>
    <mergeCell ref="D45:I45"/>
  </mergeCells>
  <printOptions/>
  <pageMargins bottom="0.75" footer="0.0" header="0.0" left="0.7" right="0.7" top="0.75"/>
  <pageSetup orientation="landscape"/>
  <drawing r:id="rId1"/>
</worksheet>
</file>